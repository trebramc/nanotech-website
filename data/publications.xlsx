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mcmarbertordona/Desktop/lab-website/data/"/>
    </mc:Choice>
  </mc:AlternateContent>
  <xr:revisionPtr revIDLastSave="0" documentId="13_ncr:1_{CC6D41AB-6EFA-7E44-904D-7EF479696391}" xr6:coauthVersionLast="47" xr6:coauthVersionMax="47" xr10:uidLastSave="{00000000-0000-0000-0000-000000000000}"/>
  <bookViews>
    <workbookView xWindow="17100" yWindow="2540" windowWidth="15560" windowHeight="15480" xr2:uid="{820CFD68-75A2-4244-A64E-B53EE6BD879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 r="G7" i="1"/>
  <c r="G5" i="1"/>
  <c r="G6" i="1"/>
  <c r="G3" i="1"/>
  <c r="G4" i="1"/>
  <c r="G2" i="1"/>
</calcChain>
</file>

<file path=xl/sharedStrings.xml><?xml version="1.0" encoding="utf-8"?>
<sst xmlns="http://schemas.openxmlformats.org/spreadsheetml/2006/main" count="65" uniqueCount="56">
  <si>
    <t>id</t>
  </si>
  <si>
    <t>year</t>
  </si>
  <si>
    <t>title</t>
  </si>
  <si>
    <t>authors</t>
  </si>
  <si>
    <t>keywords</t>
  </si>
  <si>
    <t>abstract</t>
  </si>
  <si>
    <t>image</t>
  </si>
  <si>
    <t>link</t>
  </si>
  <si>
    <t>contact</t>
  </si>
  <si>
    <t>pub_2024_01</t>
  </si>
  <si>
    <t>pub_2024_02</t>
  </si>
  <si>
    <t>Crystallization and Polymorphism under Nanoconfinement</t>
  </si>
  <si>
    <t>Noalle Fellah, Isaac Jerome C Dela Cruz, Bryan G Alamani, Alex G Shtukenberg, Ajinkya V Pandit, Michael D Ward, Allan S Myerson</t>
  </si>
  <si>
    <t>Crystallization outcomes, polymorph stability rankings, and phase transformation pathways can be significantly altered when crystallization is restricted to dimensions below 1 μm. In this review, we discuss the state of the art of crystallization and polymorphism in nanoconfinement. A primer is presented regarding the prevalent theories for nucleation, their implications for nucleation in confinement, and the dependence of solubility on crystal size. The various methods for the discovery and control of polymorphs are reviewed. Polymorphism under nanoconfinement is particularly attractive because it can be advantageous with respect to stabilizing desirable amorphous or metastable crystalline forms. Various experimental methods employing nanoconfinement are discussed along with related methods of characterization.</t>
  </si>
  <si>
    <t>featured</t>
  </si>
  <si>
    <t>journal</t>
  </si>
  <si>
    <t>Chemical Enginering Society</t>
  </si>
  <si>
    <t>Influence of volume on the nucleation of model organic molecular crystals through an induction time approach</t>
  </si>
  <si>
    <t>pub_2021_01</t>
  </si>
  <si>
    <t>Isaac Jerome C Dela Cruz, Jem Valerie Perez, Bryan Gencianeo Alamani, Gerard Capellades, Allan S Myerson</t>
  </si>
  <si>
    <t>Crystal Growth &amp; Design</t>
  </si>
  <si>
    <t>Analysis of the probability distribution of induction times for acetaminophen and glycine supersaturated solutions showed that reduction in sample volume results in an exponential increase in induction times. It approximately increased by a factor of 55 when the volume was reduced from 1000 to 25 μL. To elucidate the use of confinement as an approach to nanocrystal development and polymorph access, we demonstrated the effect of volume reduction on the nucleation of two model compounds, acetaminophen and glycine. Using supersaturated solutions of both compounds at volumes ranging from 1000 to 25 μL, induction time statistics were obtained experimentally. I</t>
  </si>
  <si>
    <t>nucleation; crystallization; polymorph</t>
  </si>
  <si>
    <t>nucleation; induction time; glycine</t>
  </si>
  <si>
    <t>Characterization and Bioenergy Potential Analysis of Queen Pineapple Waste for Solid Fuel Production via Torrefaction in Camarines Norte, Bicol Region</t>
  </si>
  <si>
    <t>pub_2023_01</t>
  </si>
  <si>
    <t>Gelyn L Bongabong, Isaac Jerome C Dela Cruz, Bryan G Alamani</t>
  </si>
  <si>
    <t>Global demand for biofuels is predicted to upsurge in the future to unravel the scarcity of fossil fuel source and its environmental impact. Lignocellulosic biomass (LCB), derived from agricultural and industrial wastes, is a promising feedstock for biofuel production because of its advantages such as wide availability, economical, and no issue of food competition. Thus, it provides a significant contribution to meeting the biofuel demand. This study investigates the characteristics and the bioenergy potential of queen pineapple waste (QPW) from the processing facility in Camarines Norte, Philippines, for biofuel production. The physical and chemical characteristics of untreated QPW were determined via proximate and ultimate analyses, respectively. </t>
  </si>
  <si>
    <t>bioenergy; torrefaction; pineapple waste</t>
  </si>
  <si>
    <t>https://link.springer.com/chapter/10.1007/978-981-99-9164-8_3</t>
  </si>
  <si>
    <t>https://pubs.acs.org/doi/abs/10.1021/acs.cgd.3c01082</t>
  </si>
  <si>
    <t>https://pubs.acs.org/doi/abs/10.1021/acs.cgd.1c00101</t>
  </si>
  <si>
    <t>icdelacruz1@up.edu.ph</t>
  </si>
  <si>
    <t>Response surface methodology as a powerful tool to optimize the synthesis of polymer-based graphene oxide nanocomposites for simultaneous removal of cationic and anionic heavy metal contaminants</t>
  </si>
  <si>
    <t>pub_2017_01</t>
  </si>
  <si>
    <t>Jem Valerie D Perez, Enrico T Nadres, Hang Ngoc Nguyen, Maria Lourdes P Dalida, Debora F Rodrigues</t>
  </si>
  <si>
    <t>Royal Society of Chemistry</t>
  </si>
  <si>
    <t>jvperez@up.edu.ph</t>
  </si>
  <si>
    <t>Nanocomposites containing graphene oxide (GO), polyethyleneimine (PEI), and chitosan (CS) were synthesized for chromium(VI) and copper(II) removal from water. Response surface methodology (RSM) was used for the optimization of the synthesis of the CS–PEI–GO beads to achieve simultaneous maximum Cr(VI) and Cu(II) removals. The RSM experimental design involved investigating different concentrations of PEI (1.0–2.0%), GO (500–1500 ppm), and glutaraldehyde (GLA) (0.5–2.5%), simultaneously. Batch adsorption experiments were performed to obtain responses in terms of percent removal for both Cr(VI) and Cu(II) ions.</t>
  </si>
  <si>
    <t>nanocomposites; graphene oxide; response surface</t>
  </si>
  <si>
    <t>https://pubs.rsc.org/en/content/articlehtml/2017/ra/c7ra00750g</t>
  </si>
  <si>
    <t>Graphene oxide nanocomposite hydrogel beads for removal of selenium in contaminated water</t>
  </si>
  <si>
    <t>pub_2019_01</t>
  </si>
  <si>
    <t>Pasan Chinthana Bandara, Jem Valerie D Perez, Enrico Tapire Nadres, Raj Gopal Nannapaneni, Konrad J Krakowiak, Debora Frigi Rodrigues</t>
  </si>
  <si>
    <t>graphene oxide; nanocomposite</t>
  </si>
  <si>
    <t>Selenium in water is becoming of increasing risk to human exposure because only recently serious health effects have been associated with their presence in water resources. The present study investigated the development and optimization of the composition of graphene oxide polymeric nanocomposite hydrogel beads by using response surface methodology. The use of polymers such as chitosan and polyethylenimine, which are rich in amine and alcoholic functional groups, provided enhanced removal of anionic selenium species from the water. Experimentally validated polymeric beads were used to perform batch adsorptions of selenium under different conditions such as pH, bead dosage, and diverse selenium concentrations to investigate their potential use, adsorption kinetics, and selenium removal mechanisms. </t>
  </si>
  <si>
    <t>https://pubs.acs.org/doi/abs/10.1021/acsapm.9b00612</t>
  </si>
  <si>
    <t>ACS Applied Polymer Materials</t>
  </si>
  <si>
    <t>pub_2021_02</t>
  </si>
  <si>
    <t>nucleation; induction time; ogranic molecular crystal</t>
  </si>
  <si>
    <t>Analysis of the probability distribution of induction times for acetaminophen and glycine supersaturated solutions showed that reduction in sample volume results in an exponential increase in induction times. It approximately increased by a factor of 55 when the volume was reduced from 1000 to 25 μL. To elucidate the use of confinement as an approach to nanocrystal development and polymorph access, we demonstrated the effect of volume reduction on the nucleation of two model compounds, acetaminophen and glycine. Using supersaturated solutions of both compounds at volumes ranging from 1000 to 25 μL, induction time statistics were obtained experimentally. </t>
  </si>
  <si>
    <t>The NAC of the Study: Exploring Micromeritics through the Lens of Spherical Crystallization of N-Acetylcysteine</t>
  </si>
  <si>
    <t>Balanay, Mac Jayvin S.</t>
  </si>
  <si>
    <t>spherical cryspherical crystallization; QESD; N-acetylcysteine; agglomeration; compressibility</t>
  </si>
  <si>
    <t>N-acetyl-l -cysteine (NAC) is a widely used mucolytic and antioxidant agent with diverse therapeutic applications. However, due to its poor stability, NAC faces significant challenges in its tablet manufacturing. Spherical crystallization has emerged as a promising technique, transforming a crystalline pharmaceutical to a form suitable for direct tableting. This study aims to apply spherical crystallization to form spherical NAC with improved solid-state properties. A systematic solvent system screening was conducted wherein spherical NAC was successfully obtained via a quasi-emulsion solvent diffusion (QESD) technique with water as the solvent and ethyl acetate as the antisolvent. The spherical crystals presented a hollow structure correlating to the QESD technique, with sphericity and roundness of 0.98 and 0.88, respectively. Spherical NAC bulk properties showed significant improvements in flowability and compressibility. Lastly, exploratory investigation on QESD showed that the addition of Tween 80 as a surfactant significantly affected particle morphology. Overall, the findings suggest that spherical crystallization is a useful technique for enhancing the flowability of NAC</t>
  </si>
  <si>
    <t>https://digitalarchives.upd.edu.ph/item/62520/9/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</si>
</sst>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theme="1"/>
      <name val="Aptos Narrow"/>
      <family val="2"/>
      <scheme val="minor"/>
    </font>
    <font>
      <u/>
      <sz val="12"/>
      <color theme="10"/>
      <name val="Aptos Narrow"/>
      <family val="2"/>
      <scheme val="minor"/>
    </font>
    <font>
      <b/>
      <sz val="16"/>
      <color rgb="FF000000"/>
      <name val="Arial"/>
      <family val="2"/>
    </font>
    <font>
      <sz val="13"/>
      <color rgb="FF222222"/>
      <name val="Arial"/>
      <family val="2"/>
    </font>
    <font>
      <sz val="8"/>
      <name val="Aptos Narrow"/>
      <family val="2"/>
      <scheme val="minor"/>
    </font>
    <font>
      <sz val="14"/>
      <color rgb="FF555555"/>
      <name val="Helvetica"/>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2" fillId="0" borderId="0" xfId="1"/>
    <xf numFmtId="0" fontId="3" fillId="0" borderId="0" xfId="0" applyFont="1"/>
    <xf numFmtId="0" fontId="4" fillId="0" borderId="0" xfId="0" applyFont="1" applyAlignment="1">
      <alignment wrapText="1"/>
    </xf>
    <xf numFmtId="0" fontId="4" fillId="0" borderId="0" xfId="0" applyFont="1"/>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vperez@up.edu.ph" TargetMode="External"/><Relationship Id="rId2" Type="http://schemas.openxmlformats.org/officeDocument/2006/relationships/hyperlink" Target="mailto:icdelacruz1@up.edu.ph" TargetMode="External"/><Relationship Id="rId1" Type="http://schemas.openxmlformats.org/officeDocument/2006/relationships/hyperlink" Target="mailto:icdelacruz1@up.edu.ph" TargetMode="External"/><Relationship Id="rId5" Type="http://schemas.openxmlformats.org/officeDocument/2006/relationships/hyperlink" Target="mailto:jvperez@up.edu.ph" TargetMode="External"/><Relationship Id="rId4" Type="http://schemas.openxmlformats.org/officeDocument/2006/relationships/hyperlink" Target="mailto:jvperez@up.edu.p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86773-2F34-2D40-9F02-867A8218AF99}">
  <dimension ref="A1:K8"/>
  <sheetViews>
    <sheetView tabSelected="1" workbookViewId="0">
      <selection activeCell="K8" sqref="K8"/>
    </sheetView>
  </sheetViews>
  <sheetFormatPr baseColWidth="10" defaultRowHeight="16" x14ac:dyDescent="0.2"/>
  <cols>
    <col min="1" max="1" width="32.1640625" customWidth="1"/>
    <col min="3" max="3" width="50.33203125" customWidth="1"/>
    <col min="4" max="4" width="57.83203125" customWidth="1"/>
    <col min="5" max="5" width="32.6640625" customWidth="1"/>
    <col min="6" max="6" width="59.6640625" customWidth="1"/>
    <col min="7" max="7" width="29.6640625" customWidth="1"/>
    <col min="8" max="8" width="23" customWidth="1"/>
    <col min="9" max="9" width="22" customWidth="1"/>
  </cols>
  <sheetData>
    <row r="1" spans="1:11" x14ac:dyDescent="0.2">
      <c r="A1" s="1" t="s">
        <v>0</v>
      </c>
      <c r="B1" s="1" t="s">
        <v>1</v>
      </c>
      <c r="C1" s="1" t="s">
        <v>2</v>
      </c>
      <c r="D1" s="1" t="s">
        <v>3</v>
      </c>
      <c r="E1" s="1" t="s">
        <v>4</v>
      </c>
      <c r="F1" s="1" t="s">
        <v>5</v>
      </c>
      <c r="G1" s="1" t="s">
        <v>6</v>
      </c>
      <c r="H1" s="1" t="s">
        <v>7</v>
      </c>
      <c r="I1" s="1" t="s">
        <v>8</v>
      </c>
      <c r="J1" s="1" t="s">
        <v>14</v>
      </c>
      <c r="K1" s="1" t="s">
        <v>15</v>
      </c>
    </row>
    <row r="2" spans="1:11" ht="270" x14ac:dyDescent="0.2">
      <c r="A2" t="s">
        <v>9</v>
      </c>
      <c r="B2">
        <v>2024</v>
      </c>
      <c r="C2" t="s">
        <v>11</v>
      </c>
      <c r="D2" t="s">
        <v>12</v>
      </c>
      <c r="E2" t="s">
        <v>22</v>
      </c>
      <c r="F2" s="4" t="s">
        <v>13</v>
      </c>
      <c r="G2" t="str">
        <f>A2</f>
        <v>pub_2024_01</v>
      </c>
      <c r="H2" s="2" t="s">
        <v>30</v>
      </c>
      <c r="I2" s="2" t="s">
        <v>32</v>
      </c>
      <c r="J2" t="b">
        <v>1</v>
      </c>
      <c r="K2" t="s">
        <v>16</v>
      </c>
    </row>
    <row r="3" spans="1:11" ht="20" x14ac:dyDescent="0.2">
      <c r="A3" t="s">
        <v>18</v>
      </c>
      <c r="B3">
        <v>2021</v>
      </c>
      <c r="C3" s="3" t="s">
        <v>17</v>
      </c>
      <c r="D3" s="5" t="s">
        <v>19</v>
      </c>
      <c r="E3" t="s">
        <v>23</v>
      </c>
      <c r="F3" s="5" t="s">
        <v>21</v>
      </c>
      <c r="G3" t="str">
        <f t="shared" ref="G3:G10" si="0">A3</f>
        <v>pub_2021_01</v>
      </c>
      <c r="H3" t="s">
        <v>31</v>
      </c>
      <c r="I3" s="2" t="s">
        <v>32</v>
      </c>
      <c r="J3" t="b">
        <v>1</v>
      </c>
      <c r="K3" s="5" t="s">
        <v>20</v>
      </c>
    </row>
    <row r="4" spans="1:11" ht="17" x14ac:dyDescent="0.2">
      <c r="A4" t="s">
        <v>25</v>
      </c>
      <c r="B4">
        <v>2023</v>
      </c>
      <c r="C4" t="s">
        <v>24</v>
      </c>
      <c r="D4" s="5" t="s">
        <v>26</v>
      </c>
      <c r="E4" t="s">
        <v>28</v>
      </c>
      <c r="F4" s="5" t="s">
        <v>27</v>
      </c>
      <c r="G4" t="str">
        <f t="shared" si="0"/>
        <v>pub_2023_01</v>
      </c>
      <c r="H4" t="s">
        <v>29</v>
      </c>
      <c r="I4" s="2" t="s">
        <v>32</v>
      </c>
      <c r="J4" t="b">
        <v>0</v>
      </c>
      <c r="K4" s="5" t="s">
        <v>20</v>
      </c>
    </row>
    <row r="5" spans="1:11" ht="17" x14ac:dyDescent="0.2">
      <c r="A5" t="s">
        <v>34</v>
      </c>
      <c r="B5">
        <v>2017</v>
      </c>
      <c r="C5" t="s">
        <v>33</v>
      </c>
      <c r="D5" s="5" t="s">
        <v>35</v>
      </c>
      <c r="E5" t="s">
        <v>39</v>
      </c>
      <c r="F5" s="5" t="s">
        <v>38</v>
      </c>
      <c r="G5" t="str">
        <f t="shared" si="0"/>
        <v>pub_2017_01</v>
      </c>
      <c r="H5" t="s">
        <v>40</v>
      </c>
      <c r="I5" s="2" t="s">
        <v>37</v>
      </c>
      <c r="J5" t="b">
        <v>1</v>
      </c>
      <c r="K5" s="5" t="s">
        <v>36</v>
      </c>
    </row>
    <row r="6" spans="1:11" ht="17" x14ac:dyDescent="0.2">
      <c r="A6" t="s">
        <v>42</v>
      </c>
      <c r="B6">
        <v>2019</v>
      </c>
      <c r="C6" t="s">
        <v>41</v>
      </c>
      <c r="D6" s="5" t="s">
        <v>43</v>
      </c>
      <c r="E6" t="s">
        <v>44</v>
      </c>
      <c r="F6" s="5" t="s">
        <v>45</v>
      </c>
      <c r="G6" t="str">
        <f t="shared" si="0"/>
        <v>pub_2019_01</v>
      </c>
      <c r="H6" t="s">
        <v>46</v>
      </c>
      <c r="I6" s="2" t="s">
        <v>37</v>
      </c>
      <c r="J6" t="b">
        <v>0</v>
      </c>
      <c r="K6" s="5" t="s">
        <v>47</v>
      </c>
    </row>
    <row r="7" spans="1:11" ht="17" x14ac:dyDescent="0.2">
      <c r="A7" t="s">
        <v>48</v>
      </c>
      <c r="B7">
        <v>2021</v>
      </c>
      <c r="C7" t="s">
        <v>17</v>
      </c>
      <c r="D7" s="5" t="s">
        <v>19</v>
      </c>
      <c r="E7" t="s">
        <v>49</v>
      </c>
      <c r="F7" s="5" t="s">
        <v>50</v>
      </c>
      <c r="G7" t="str">
        <f t="shared" si="0"/>
        <v>pub_2021_02</v>
      </c>
      <c r="H7" t="s">
        <v>31</v>
      </c>
      <c r="I7" s="2" t="s">
        <v>37</v>
      </c>
      <c r="J7" t="b">
        <v>1</v>
      </c>
      <c r="K7" s="5" t="s">
        <v>20</v>
      </c>
    </row>
    <row r="8" spans="1:11" ht="18" x14ac:dyDescent="0.2">
      <c r="A8" t="s">
        <v>10</v>
      </c>
      <c r="B8">
        <v>2024</v>
      </c>
      <c r="C8" s="6" t="s">
        <v>51</v>
      </c>
      <c r="D8" s="6" t="s">
        <v>52</v>
      </c>
      <c r="E8" t="s">
        <v>53</v>
      </c>
      <c r="F8" s="6" t="s">
        <v>54</v>
      </c>
      <c r="G8" t="str">
        <f t="shared" si="0"/>
        <v>pub_2024_02</v>
      </c>
      <c r="H8" t="s">
        <v>55</v>
      </c>
      <c r="J8" t="b">
        <v>0</v>
      </c>
    </row>
  </sheetData>
  <phoneticPr fontId="5" type="noConversion"/>
  <hyperlinks>
    <hyperlink ref="I2" r:id="rId1" xr:uid="{3FD15FEC-F64A-344B-B42E-F835D2614D24}"/>
    <hyperlink ref="I3:I4" r:id="rId2" display="icdelacruz1@up.edu.ph" xr:uid="{1728882C-45AD-9F4E-B34C-32957038358A}"/>
    <hyperlink ref="I5" r:id="rId3" xr:uid="{6B24A9BD-C110-BC41-8FF2-AD0B1096B5E5}"/>
    <hyperlink ref="I6" r:id="rId4" xr:uid="{086DDB24-D2B0-6B43-B88B-D794A5025DE0}"/>
    <hyperlink ref="I7" r:id="rId5" xr:uid="{563600F1-498A-914C-B2E1-7554929915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Marbert Ordona</dc:creator>
  <cp:lastModifiedBy>Marbert Ordona</cp:lastModifiedBy>
  <dcterms:created xsi:type="dcterms:W3CDTF">2026-02-04T14:47:32Z</dcterms:created>
  <dcterms:modified xsi:type="dcterms:W3CDTF">2026-02-05T06:30:25Z</dcterms:modified>
</cp:coreProperties>
</file>